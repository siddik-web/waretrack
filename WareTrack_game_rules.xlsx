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ift calculator" sheetId="1" state="visible" r:id="rId3"/>
    <sheet name="Warehouses" sheetId="2" state="visible" r:id="rId4"/>
    <sheet name="Scoring" sheetId="3" state="visible" r:id="rId5"/>
    <sheet name="Incidents" sheetId="4" state="visible" r:id="rId6"/>
    <sheet name="Actions" sheetId="5" state="visible" r:id="rId7"/>
    <sheet name="Upgrades" sheetId="6" state="visible" r:id="rId8"/>
    <sheet name="World and traffic" sheetId="7" state="visible" r:id="rId9"/>
    <sheet name="Deliveries" sheetId="8" state="visible" r:id="rId10"/>
    <sheet name="Delivery upgrades" sheetId="9" state="visible" r:id="rId11"/>
    <sheet name="Challenge and reward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4" authorId="0">
      <text>
        <r>
          <rPr>
            <sz val="10"/>
            <rFont val="Arial"/>
            <family val="2"/>
          </rPr>
          <t xml:space="preserve">Stored as 1/6. Credits = ROUND(score/6) + stars × 10.</t>
        </r>
      </text>
    </comment>
  </commentList>
</comments>
</file>

<file path=xl/sharedStrings.xml><?xml version="1.0" encoding="utf-8"?>
<sst xmlns="http://schemas.openxmlformats.org/spreadsheetml/2006/main" count="331" uniqueCount="305">
  <si>
    <t xml:space="preserve">Shift calculator</t>
  </si>
  <si>
    <t xml:space="preserve">Edit the yellow cells to estimate a shift score, stars and credits. Example values shown.</t>
  </si>
  <si>
    <t xml:space="preserve">Your shift</t>
  </si>
  <si>
    <t xml:space="preserve">Warehouse</t>
  </si>
  <si>
    <t xml:space="preserve">Northgate DC</t>
  </si>
  <si>
    <t xml:space="preserve">Pick from the list</t>
  </si>
  <si>
    <t xml:space="preserve">Pallets put away</t>
  </si>
  <si>
    <t xml:space="preserve">Orders staged on time</t>
  </si>
  <si>
    <t xml:space="preserve">Rush orders staged on time</t>
  </si>
  <si>
    <t xml:space="preserve">Orders staged late</t>
  </si>
  <si>
    <t xml:space="preserve">Fast truck turnarounds (≤45 min)</t>
  </si>
  <si>
    <t xml:space="preserve">Good truck turnarounds (≤70 min)</t>
  </si>
  <si>
    <t xml:space="preserve">Late orders</t>
  </si>
  <si>
    <t xml:space="preserve">Backorders</t>
  </si>
  <si>
    <t xml:space="preserve">Gate detention charges</t>
  </si>
  <si>
    <t xml:space="preserve">Points spent on incidents and actions</t>
  </si>
  <si>
    <t xml:space="preserve">Result</t>
  </si>
  <si>
    <t xml:space="preserve">Score</t>
  </si>
  <si>
    <t xml:space="preserve">Goal: pallets put away</t>
  </si>
  <si>
    <t xml:space="preserve">Goal: orders on time</t>
  </si>
  <si>
    <t xml:space="preserve">Goal: on-time rate</t>
  </si>
  <si>
    <t xml:space="preserve">Orders on time (incl. rush)</t>
  </si>
  <si>
    <t xml:space="preserve">Rush orders count toward the on-time goal</t>
  </si>
  <si>
    <t xml:space="preserve">Your on-time rate</t>
  </si>
  <si>
    <t xml:space="preserve">Stars</t>
  </si>
  <si>
    <t xml:space="preserve">One star per goal met (0–3)</t>
  </si>
  <si>
    <t xml:space="preserve">Credits earned</t>
  </si>
  <si>
    <t xml:space="preserve">WareTrack warehouses</t>
  </si>
  <si>
    <t xml:space="preserve">Values match the game build. Blue = values set in the game; black = formulas.</t>
  </si>
  <si>
    <t xml:space="preserve">Code</t>
  </si>
  <si>
    <t xml:space="preserve">Location</t>
  </si>
  <si>
    <t xml:space="preserve">Difficulty (1-3)</t>
  </si>
  <si>
    <t xml:space="preserve">Docks</t>
  </si>
  <si>
    <t xml:space="preserve">Rack rows</t>
  </si>
  <si>
    <t xml:space="preserve">Rack slots</t>
  </si>
  <si>
    <t xml:space="preserve">Forklifts</t>
  </si>
  <si>
    <t xml:space="preserve">Order due window (min)</t>
  </si>
  <si>
    <t xml:space="preserve">How to unlock</t>
  </si>
  <si>
    <t xml:space="preserve">What makes it different</t>
  </si>
  <si>
    <t xml:space="preserve">Building</t>
  </si>
  <si>
    <t xml:space="preserve">Map position</t>
  </si>
  <si>
    <t xml:space="preserve">WH-02</t>
  </si>
  <si>
    <t xml:space="preserve">Newark NJ</t>
  </si>
  <si>
    <t xml:space="preserve">Open from the start</t>
  </si>
  <si>
    <t xml:space="preserve">Steady inbound and a patient crew. The starter site.</t>
  </si>
  <si>
    <t xml:space="preserve">Blue gable roof</t>
  </si>
  <si>
    <t xml:space="preserve">Centre</t>
  </si>
  <si>
    <t xml:space="preserve">WH-01</t>
  </si>
  <si>
    <t xml:space="preserve">Riverside Hub</t>
  </si>
  <si>
    <t xml:space="preserve">Paterson NJ</t>
  </si>
  <si>
    <t xml:space="preserve">2 stars at Northgate DC</t>
  </si>
  <si>
    <t xml:space="preserve">A small two-door depot. Fewer trucks, but only two docks to share.</t>
  </si>
  <si>
    <t xml:space="preserve">Depot roof</t>
  </si>
  <si>
    <t xml:space="preserve">1 site west</t>
  </si>
  <si>
    <t xml:space="preserve">WH-03</t>
  </si>
  <si>
    <t xml:space="preserve">Eastport Cold Chain</t>
  </si>
  <si>
    <t xml:space="preserve">Elizabeth NJ</t>
  </si>
  <si>
    <t xml:space="preserve">2 stars at Riverside Hub</t>
  </si>
  <si>
    <t xml:space="preserve">Five docks and a long truck queue, but only three rack rows.</t>
  </si>
  <si>
    <t xml:space="preserve">Flat cold-store roof, condensers, silos</t>
  </si>
  <si>
    <t xml:space="preserve">1 site east</t>
  </si>
  <si>
    <t xml:space="preserve">WH-04</t>
  </si>
  <si>
    <t xml:space="preserve">Southfield Cross-Dock</t>
  </si>
  <si>
    <t xml:space="preserve">Edison NJ</t>
  </si>
  <si>
    <t xml:space="preserve">2 stars at Eastport Cold Chain</t>
  </si>
  <si>
    <t xml:space="preserve">Freight flows straight through: constant trucks, little rack space.</t>
  </si>
  <si>
    <t xml:space="preserve">Four-ridge sawtooth roof</t>
  </si>
  <si>
    <t xml:space="preserve">2 sites west</t>
  </si>
  <si>
    <t xml:space="preserve">WH-05</t>
  </si>
  <si>
    <t xml:space="preserve">Westgate Robotics Hub</t>
  </si>
  <si>
    <t xml:space="preserve">Allentown PA</t>
  </si>
  <si>
    <t xml:space="preserve">2 stars at Southfield Cross-Dock</t>
  </si>
  <si>
    <t xml:space="preserve">Few docks, a flood of orders and more things go wrong.</t>
  </si>
  <si>
    <t xml:space="preserve">Solar-panel roof</t>
  </si>
  <si>
    <t xml:space="preserve">2 sites east</t>
  </si>
  <si>
    <t xml:space="preserve">Rack slots = rack rows × 8 bays × 2 levels. A shift runs 08:00–16:00 game time (about 8 real minutes at 1× speed). The on-time goal needs at least 5 orders.</t>
  </si>
  <si>
    <t xml:space="preserve">A site you have already scored at stays unlocked. All five sites share one road network: you run one in full detail and the other four keep working on their own.</t>
  </si>
  <si>
    <t xml:space="preserve">Scoring rules</t>
  </si>
  <si>
    <t xml:space="preserve">Points added or taken away during a shift.</t>
  </si>
  <si>
    <t xml:space="preserve">Event</t>
  </si>
  <si>
    <t xml:space="preserve">Points</t>
  </si>
  <si>
    <t xml:space="preserve">When it applies</t>
  </si>
  <si>
    <t xml:space="preserve">Pallet put away</t>
  </si>
  <si>
    <t xml:space="preserve">Each pallet a forklift puts into a rack</t>
  </si>
  <si>
    <t xml:space="preserve">Order staged on time</t>
  </si>
  <si>
    <t xml:space="preserve">Order reaches outbound staging before its due time</t>
  </si>
  <si>
    <t xml:space="preserve">Rush order staged on time</t>
  </si>
  <si>
    <t xml:space="preserve">Accepted rush order staged within 25 minutes</t>
  </si>
  <si>
    <t xml:space="preserve">Order staged late</t>
  </si>
  <si>
    <t xml:space="preserve">Order staged after its due time (still counts as shipped)</t>
  </si>
  <si>
    <t xml:space="preserve">Fast truck turnaround (≤45 min)</t>
  </si>
  <si>
    <t xml:space="preserve">Truck leaves within 45 min of reaching the gate</t>
  </si>
  <si>
    <t xml:space="preserve">Good truck turnaround (≤70 min)</t>
  </si>
  <si>
    <t xml:space="preserve">Truck leaves within 70 min of reaching the gate</t>
  </si>
  <si>
    <t xml:space="preserve">Late order</t>
  </si>
  <si>
    <t xml:space="preserve">Charged once when an order passes its due time</t>
  </si>
  <si>
    <t xml:space="preserve">Backorder</t>
  </si>
  <si>
    <t xml:space="preserve">New order for a product with no stock and none on the way</t>
  </si>
  <si>
    <t xml:space="preserve">Gate detention (per 5 min)</t>
  </si>
  <si>
    <t xml:space="preserve">Truck waits at the gate past 15 min; at most 6 charges per truck</t>
  </si>
  <si>
    <t xml:space="preserve">Credits per score point</t>
  </si>
  <si>
    <t xml:space="preserve">Credits earned = score ÷ 6, rounded, never below 0</t>
  </si>
  <si>
    <t xml:space="preserve">Credits per star</t>
  </si>
  <si>
    <t xml:space="preserve">Added on top of score credits</t>
  </si>
  <si>
    <t xml:space="preserve">Problems and your choices</t>
  </si>
  <si>
    <t xml:space="preserve">A card appears with two options. If you do not choose in about 20 seconds, the default is picked.</t>
  </si>
  <si>
    <t xml:space="preserve">Problem</t>
  </si>
  <si>
    <t xml:space="preserve">Option A (spend points)</t>
  </si>
  <si>
    <t xml:space="preserve">Cost (points)</t>
  </si>
  <si>
    <t xml:space="preserve">Option A result</t>
  </si>
  <si>
    <t xml:space="preserve">Option B (free)</t>
  </si>
  <si>
    <t xml:space="preserve">Option B result</t>
  </si>
  <si>
    <t xml:space="preserve">Default if no choice</t>
  </si>
  <si>
    <t xml:space="preserve">Forklift breaks down</t>
  </si>
  <si>
    <t xml:space="preserve">Call a mechanic</t>
  </si>
  <si>
    <t xml:space="preserve">Fixed in 20 min</t>
  </si>
  <si>
    <t xml:space="preserve">Wait for the shift tech</t>
  </si>
  <si>
    <t xml:space="preserve">Fixed in 90 min</t>
  </si>
  <si>
    <t xml:space="preserve">Option B</t>
  </si>
  <si>
    <t xml:space="preserve">Spill closes an aisle</t>
  </si>
  <si>
    <t xml:space="preserve">Send cleanup crew</t>
  </si>
  <si>
    <t xml:space="preserve">Aisle clear in 8 min</t>
  </si>
  <si>
    <t xml:space="preserve">Leave it</t>
  </si>
  <si>
    <t xml:space="preserve">Aisle closed for 60 min (last aisle also blocks outbound staging)</t>
  </si>
  <si>
    <t xml:space="preserve">Rush order arrives</t>
  </si>
  <si>
    <t xml:space="preserve">Accept rush</t>
  </si>
  <si>
    <t xml:space="preserve">+40 if staged within 25 min</t>
  </si>
  <si>
    <t xml:space="preserve">Decline</t>
  </si>
  <si>
    <t xml:space="preserve">−10 goodwill</t>
  </si>
  <si>
    <t xml:space="preserve">Option A</t>
  </si>
  <si>
    <t xml:space="preserve">Inbound truck delayed</t>
  </si>
  <si>
    <t xml:space="preserve">Book a backup carrier</t>
  </si>
  <si>
    <t xml:space="preserve">Extra truck in 3 min</t>
  </si>
  <si>
    <t xml:space="preserve">Accept the delay</t>
  </si>
  <si>
    <t xml:space="preserve">Truck arrives 25 min later</t>
  </si>
  <si>
    <t xml:space="preserve">Flash-sale order surge</t>
  </si>
  <si>
    <t xml:space="preserve">Hire a temp driver</t>
  </si>
  <si>
    <t xml:space="preserve">Extra forklift for 60 min</t>
  </si>
  <si>
    <t xml:space="preserve">Ride it out</t>
  </si>
  <si>
    <t xml:space="preserve">Orders arrive twice as fast for 45 min</t>
  </si>
  <si>
    <t xml:space="preserve">Product almost out</t>
  </si>
  <si>
    <t xml:space="preserve">Expedite supplier</t>
  </si>
  <si>
    <t xml:space="preserve">Truck with mostly that product in 4 min</t>
  </si>
  <si>
    <t xml:space="preserve">Wait for regular trucks</t>
  </si>
  <si>
    <t xml:space="preserve">Orders for it may be backordered (−15 each)</t>
  </si>
  <si>
    <t xml:space="preserve">Total cost if you pay for every Option A once</t>
  </si>
  <si>
    <t xml:space="preserve">Things you can do during a shift</t>
  </si>
  <si>
    <t xml:space="preserve">Available any time from the side panel or top bar.</t>
  </si>
  <si>
    <t xml:space="preserve">Action</t>
  </si>
  <si>
    <t xml:space="preserve">Where</t>
  </si>
  <si>
    <t xml:space="preserve">Effect</t>
  </si>
  <si>
    <t xml:space="preserve">Move order to front</t>
  </si>
  <si>
    <t xml:space="preserve">Orders tab</t>
  </si>
  <si>
    <t xml:space="preserve">That order is picked next</t>
  </si>
  <si>
    <t xml:space="preserve">Expedite a product</t>
  </si>
  <si>
    <t xml:space="preserve">Stock tab (shows when 3 or fewer pallets)</t>
  </si>
  <si>
    <t xml:space="preserve">Rush truck arrives in 4 min</t>
  </si>
  <si>
    <t xml:space="preserve">Hire temp driver</t>
  </si>
  <si>
    <t xml:space="preserve">Fleet tab</t>
  </si>
  <si>
    <t xml:space="preserve">Extra forklift for 60 min (max 2 at once)</t>
  </si>
  <si>
    <t xml:space="preserve">Call truck</t>
  </si>
  <si>
    <t xml:space="preserve">Top bar</t>
  </si>
  <si>
    <t xml:space="preserve">Extra inbound truck in 2 min</t>
  </si>
  <si>
    <t xml:space="preserve">Upgrades</t>
  </si>
  <si>
    <t xml:space="preserve">Bought between shifts with credits. They apply to every warehouse.</t>
  </si>
  <si>
    <t xml:space="preserve">Upgrade</t>
  </si>
  <si>
    <t xml:space="preserve">Level 1 cost (cr)</t>
  </si>
  <si>
    <t xml:space="preserve">Level 2 cost (cr)</t>
  </si>
  <si>
    <t xml:space="preserve">Max level</t>
  </si>
  <si>
    <t xml:space="preserve">Total to max (cr)</t>
  </si>
  <si>
    <t xml:space="preserve">Extra forklift</t>
  </si>
  <si>
    <t xml:space="preserve">One more forklift on every shift</t>
  </si>
  <si>
    <t xml:space="preserve">Turbo drive</t>
  </si>
  <si>
    <t xml:space="preserve">Forklifts drive 15% faster per level</t>
  </si>
  <si>
    <t xml:space="preserve">Fast charging</t>
  </si>
  <si>
    <t xml:space="preserve">Batteries drain slower and charge twice as fast</t>
  </si>
  <si>
    <t xml:space="preserve">Everything maxed</t>
  </si>
  <si>
    <t xml:space="preserve">The world, roads and the other sites</t>
  </si>
  <si>
    <t xml:space="preserve">How the shared map behaves. Times are in game minutes (1 real second = 1 game minute at 1× speed).</t>
  </si>
  <si>
    <t xml:space="preserve">Topic</t>
  </si>
  <si>
    <t xml:space="preserve">Rule</t>
  </si>
  <si>
    <t xml:space="preserve">Value</t>
  </si>
  <si>
    <t xml:space="preserve">Traffic lights: green</t>
  </si>
  <si>
    <t xml:space="preserve">North–south or east–west green phase</t>
  </si>
  <si>
    <t xml:space="preserve">6 min</t>
  </si>
  <si>
    <t xml:space="preserve">Traffic lights: amber</t>
  </si>
  <si>
    <t xml:space="preserve">Amber after green; cars already moving fast may still cross</t>
  </si>
  <si>
    <t xml:space="preserve">1.5 min</t>
  </si>
  <si>
    <t xml:space="preserve">Traffic lights: all red</t>
  </si>
  <si>
    <t xml:space="preserve">Clearance between phases</t>
  </si>
  <si>
    <t xml:space="preserve">0.8 min</t>
  </si>
  <si>
    <t xml:space="preserve">Traffic lights: full cycle</t>
  </si>
  <si>
    <t xml:space="preserve">Driving side</t>
  </si>
  <si>
    <t xml:space="preserve">Every vehicle keeps to the right-hand lane</t>
  </si>
  <si>
    <t xml:space="preserve">Right</t>
  </si>
  <si>
    <t xml:space="preserve">Following distance</t>
  </si>
  <si>
    <t xml:space="preserve">Vehicles stop when one is close ahead in their lane</t>
  </si>
  <si>
    <t xml:space="preserve">~3.5 m</t>
  </si>
  <si>
    <t xml:space="preserve">Truck-only roads</t>
  </si>
  <si>
    <t xml:space="preserve">Yellow-lined lanes into each yard; cars never use them</t>
  </si>
  <si>
    <t xml:space="preserve">Trucks only</t>
  </si>
  <si>
    <t xml:space="preserve">Other sites: trucks</t>
  </si>
  <si>
    <t xml:space="preserve">Inbound (unload) or outbound (load), queue at the gate, dock, then leave</t>
  </si>
  <si>
    <t xml:space="preserve">Every 20–60 min per site</t>
  </si>
  <si>
    <t xml:space="preserve">Other sites: forklifts</t>
  </si>
  <si>
    <t xml:space="preserve">One yard forklift per two docks moves pallets between door and staging</t>
  </si>
  <si>
    <t xml:space="preserve">1 pallet per trip</t>
  </si>
  <si>
    <t xml:space="preserve">Other sites: on time</t>
  </si>
  <si>
    <t xml:space="preserve">A truck counts as on time if it leaves within 70 min of reaching the gate</t>
  </si>
  <si>
    <t xml:space="preserve">70 min</t>
  </si>
  <si>
    <t xml:space="preserve">Switching sites</t>
  </si>
  <si>
    <t xml:space="preserve">Pick a site in the top-bar menu: the camera flies there. Between shifts it becomes your site; during a shift you can only watch</t>
  </si>
  <si>
    <t xml:space="preserve">—</t>
  </si>
  <si>
    <t xml:space="preserve">Network overview</t>
  </si>
  <si>
    <t xml:space="preserve">Zooms out to all five sites with a name pin over each</t>
  </si>
  <si>
    <t xml:space="preserve">Transfer trucks</t>
  </si>
  <si>
    <t xml:space="preserve">WareTrack trucks drive stock between your warehouses on the public roads, obeying the same lights and lanes</t>
  </si>
  <si>
    <t xml:space="preserve">Every 90–160 min per site</t>
  </si>
  <si>
    <t xml:space="preserve">Request a transfer</t>
  </si>
  <si>
    <t xml:space="preserve">Stock tab: a nearby warehouse sends 5 pallets (4 of the product you need). Slower than Expedite but cheaper</t>
  </si>
  <si>
    <t xml:space="preserve">15 points</t>
  </si>
  <si>
    <t xml:space="preserve">Yard lane</t>
  </si>
  <si>
    <t xml:space="preserve">One truck moves in a yard lane at a time: a truck only backs into a dock or pulls out when the lane is clear</t>
  </si>
  <si>
    <t xml:space="preserve">Approach roads</t>
  </si>
  <si>
    <t xml:space="preserve">Traffic enters and leaves the map along long approach roads, so vehicles never pop in or vanish on screen</t>
  </si>
  <si>
    <t xml:space="preserve">Delivery vans</t>
  </si>
  <si>
    <t xml:space="preserve">Every shipped order becomes a delivery to a shop. Credits go straight to your balance, in shifts and in free play.</t>
  </si>
  <si>
    <t xml:space="preserve">How it works</t>
  </si>
  <si>
    <t xml:space="preserve">Promised time</t>
  </si>
  <si>
    <t xml:space="preserve">Minutes from shipping until the drop is due: 30 + 3 per block of route (+5 with a Dispatcher)</t>
  </si>
  <si>
    <t xml:space="preserve">Base fee (credits)</t>
  </si>
  <si>
    <t xml:space="preserve">2 + 0.25 per block, then the route-planner and rating multipliers</t>
  </si>
  <si>
    <t xml:space="preserve">Early drop</t>
  </si>
  <si>
    <t xml:space="preserve">10 or more minutes before the promised time: +25% tip</t>
  </si>
  <si>
    <t xml:space="preserve">Late drop</t>
  </si>
  <si>
    <t xml:space="preserve">After the promised time: half pay, and your rating drops</t>
  </si>
  <si>
    <t xml:space="preserve">Rating multiplier</t>
  </si>
  <si>
    <t xml:space="preserve">0.8 + 0.1 × rating (rating 0–5, starts at 4.0)</t>
  </si>
  <si>
    <t xml:space="preserve">Running cost per trip</t>
  </si>
  <si>
    <t xml:space="preserve">Charged when a van leaves the depot (Electric vans: free)</t>
  </si>
  <si>
    <t xml:space="preserve">Example fee (8 blocks, early, rating 4)</t>
  </si>
  <si>
    <t xml:space="preserve">Base × rating × early tip</t>
  </si>
  <si>
    <t xml:space="preserve">Customers</t>
  </si>
  <si>
    <t xml:space="preserve">Every shop and every house in the city around the site you run: 8 shops and 10 homes per site, plus shops you build</t>
  </si>
  <si>
    <t xml:space="preserve">18 per site</t>
  </si>
  <si>
    <t xml:space="preserve">Tracking</t>
  </si>
  <si>
    <t xml:space="preserve">Shipment tracking → Outbound follows an order: placed, picked, staged, shipped, out for delivery, delivered. Tap a shop or house to see its open orders</t>
  </si>
  <si>
    <t xml:space="preserve">Delivery staff and tools</t>
  </si>
  <si>
    <t xml:space="preserve">Bought any time with credits from the Vans tab.</t>
  </si>
  <si>
    <t xml:space="preserve">Group</t>
  </si>
  <si>
    <t xml:space="preserve">Level 1 (cr)</t>
  </si>
  <si>
    <t xml:space="preserve">Level 2 (cr)</t>
  </si>
  <si>
    <t xml:space="preserve">Level 3 (cr)</t>
  </si>
  <si>
    <t xml:space="preserve">Total (cr)</t>
  </si>
  <si>
    <t xml:space="preserve">Delivery drivers</t>
  </si>
  <si>
    <t xml:space="preserve">Staff</t>
  </si>
  <si>
    <t xml:space="preserve">Fleet of 4 vans, then 5, 6 and 7</t>
  </si>
  <si>
    <t xml:space="preserve">Driver training</t>
  </si>
  <si>
    <t xml:space="preserve">Vans drive 12% faster per level</t>
  </si>
  <si>
    <t xml:space="preserve">Dispatcher</t>
  </si>
  <si>
    <t xml:space="preserve">Most urgent job goes first; promises 5 min longer</t>
  </si>
  <si>
    <t xml:space="preserve">Handheld scanners</t>
  </si>
  <si>
    <t xml:space="preserve">Tools</t>
  </si>
  <si>
    <t xml:space="preserve">Drop-offs take half the time; +1 cr tip each</t>
  </si>
  <si>
    <t xml:space="preserve">Route planner</t>
  </si>
  <si>
    <t xml:space="preserve">Delivery fees +15% per level</t>
  </si>
  <si>
    <t xml:space="preserve">Bigger vans</t>
  </si>
  <si>
    <t xml:space="preserve">Each van carries 2 deliveries per trip</t>
  </si>
  <si>
    <t xml:space="preserve">Electric vans</t>
  </si>
  <si>
    <t xml:space="preserve">Trips cost nothing to run</t>
  </si>
  <si>
    <t xml:space="preserve">Everything bought</t>
  </si>
  <si>
    <t xml:space="preserve">Order requests, Hands-on mode, missions and streaks</t>
  </si>
  <si>
    <t xml:space="preserve">The systems that give each session a goal and a reason to come back.</t>
  </si>
  <si>
    <t xml:space="preserve">System</t>
  </si>
  <si>
    <t xml:space="preserve">Order request window</t>
  </si>
  <si>
    <t xml:space="preserve">During a shift every new order pops up in the Actions card. Accept, rush it or decline before the timer runs out (real seconds, paused when the game is paused)</t>
  </si>
  <si>
    <t xml:space="preserve">Missed request</t>
  </si>
  <si>
    <t xml:space="preserve">The customer goes elsewhere: points lost and customer rating drops</t>
  </si>
  <si>
    <t xml:space="preserve">Rating cost of a missed request</t>
  </si>
  <si>
    <t xml:space="preserve">Applied to the 0–5 customer rating</t>
  </si>
  <si>
    <t xml:space="preserve">Rating cost of declining</t>
  </si>
  <si>
    <t xml:space="preserve">Declining is cheaper than ignoring</t>
  </si>
  <si>
    <t xml:space="preserve">Rush an order</t>
  </si>
  <si>
    <t xml:space="preserve">Accept as rush: due in 25 minutes, pays the rush bonus</t>
  </si>
  <si>
    <t xml:space="preserve">Out-of-stock request</t>
  </si>
  <si>
    <t xml:space="preserve">Accepting sends a transfer truck from another warehouse automatically (15 points)</t>
  </si>
  <si>
    <t xml:space="preserve">Hands-on mode</t>
  </si>
  <si>
    <t xml:space="preserve">You dock every truck, release every order to the floor and send every van yourself; all points earned are multiplied</t>
  </si>
  <si>
    <t xml:space="preserve">Missions</t>
  </si>
  <si>
    <t xml:space="preserve">3 active missions from 11 types (put-aways, on-time orders, deliveries, home drops, early drops, delivery credits, fast trucks, streaks, combos, transfers, 2-star shifts); targets and rewards grow with level</t>
  </si>
  <si>
    <t xml:space="preserve">30–60 cr + XP</t>
  </si>
  <si>
    <t xml:space="preserve">Mission chest</t>
  </si>
  <si>
    <t xml:space="preserve">Every 5th mission completed</t>
  </si>
  <si>
    <t xml:space="preserve">On-time delivery streak</t>
  </si>
  <si>
    <t xml:space="preserve">Each consecutive on-time drop adds to every delivery fee; a late drop resets it</t>
  </si>
  <si>
    <t xml:space="preserve">+2.5% per drop</t>
  </si>
  <si>
    <t xml:space="preserve">Streak cap</t>
  </si>
  <si>
    <t xml:space="preserve">Highest streak bonus</t>
  </si>
  <si>
    <t xml:space="preserve">+25%</t>
  </si>
  <si>
    <t xml:space="preserve">Welcome-back pay</t>
  </si>
  <si>
    <t xml:space="preserve">While you are away your network keeps earning; counted for up to 8 hours</t>
  </si>
  <si>
    <t xml:space="preserve">14 cr/h + upgrades</t>
  </si>
  <si>
    <t xml:space="preserve">North and South districts</t>
  </si>
  <si>
    <t xml:space="preserve">18 more homes per site, further out and better paid; open with the first Delivery drivers upgrade</t>
  </si>
  <si>
    <t xml:space="preserve">5th van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</si>
</sst>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BE0"/>
        <bgColor rgb="FF0066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5BE0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s">
        <v>4</v>
      </c>
      <c r="C5" s="2" t="s">
        <v>5</v>
      </c>
    </row>
    <row r="6" customFormat="false" ht="15" hidden="false" customHeight="false" outlineLevel="0" collapsed="false">
      <c r="A6" s="5" t="s">
        <v>6</v>
      </c>
      <c r="B6" s="6" t="n">
        <v>32</v>
      </c>
    </row>
    <row r="7" customFormat="false" ht="15" hidden="false" customHeight="false" outlineLevel="0" collapsed="false">
      <c r="A7" s="5" t="s">
        <v>7</v>
      </c>
      <c r="B7" s="6" t="n">
        <v>24</v>
      </c>
    </row>
    <row r="8" customFormat="false" ht="15" hidden="false" customHeight="false" outlineLevel="0" collapsed="false">
      <c r="A8" s="5" t="s">
        <v>8</v>
      </c>
      <c r="B8" s="6" t="n">
        <v>2</v>
      </c>
    </row>
    <row r="9" customFormat="false" ht="15" hidden="false" customHeight="false" outlineLevel="0" collapsed="false">
      <c r="A9" s="5" t="s">
        <v>9</v>
      </c>
      <c r="B9" s="6" t="n">
        <v>3</v>
      </c>
    </row>
    <row r="10" customFormat="false" ht="15" hidden="false" customHeight="false" outlineLevel="0" collapsed="false">
      <c r="A10" s="5" t="s">
        <v>10</v>
      </c>
      <c r="B10" s="6" t="n">
        <v>4</v>
      </c>
    </row>
    <row r="11" customFormat="false" ht="15" hidden="false" customHeight="false" outlineLevel="0" collapsed="false">
      <c r="A11" s="5" t="s">
        <v>11</v>
      </c>
      <c r="B11" s="6" t="n">
        <v>3</v>
      </c>
    </row>
    <row r="12" customFormat="false" ht="15" hidden="false" customHeight="false" outlineLevel="0" collapsed="false">
      <c r="A12" s="5" t="s">
        <v>12</v>
      </c>
      <c r="B12" s="6" t="n">
        <v>4</v>
      </c>
    </row>
    <row r="13" customFormat="false" ht="15" hidden="false" customHeight="false" outlineLevel="0" collapsed="false">
      <c r="A13" s="5" t="s">
        <v>13</v>
      </c>
      <c r="B13" s="6" t="n">
        <v>1</v>
      </c>
    </row>
    <row r="14" customFormat="false" ht="15" hidden="false" customHeight="false" outlineLevel="0" collapsed="false">
      <c r="A14" s="5" t="s">
        <v>14</v>
      </c>
      <c r="B14" s="6" t="n">
        <v>5</v>
      </c>
    </row>
    <row r="15" customFormat="false" ht="15" hidden="false" customHeight="false" outlineLevel="0" collapsed="false">
      <c r="A15" s="5" t="s">
        <v>15</v>
      </c>
      <c r="B15" s="6" t="n">
        <v>95</v>
      </c>
    </row>
    <row r="17" customFormat="false" ht="15" hidden="false" customHeight="false" outlineLevel="0" collapsed="false">
      <c r="A17" s="3" t="s">
        <v>16</v>
      </c>
      <c r="B17" s="4"/>
      <c r="C17" s="4"/>
    </row>
    <row r="18" customFormat="false" ht="15" hidden="false" customHeight="false" outlineLevel="0" collapsed="false">
      <c r="A18" s="7" t="s">
        <v>17</v>
      </c>
      <c r="B18" s="7" t="n">
        <f aca="false">B6*Scoring!$B$5+B7*Scoring!$B$6+B8*Scoring!$B$7+B9*Scoring!$B$8+B10*Scoring!$B$9+B11*Scoring!$B$10+B12*Scoring!$B$11+B13*Scoring!$B$12+B14*Scoring!$B$13-B15</f>
        <v>576</v>
      </c>
    </row>
    <row r="19" customFormat="false" ht="15" hidden="false" customHeight="false" outlineLevel="0" collapsed="false">
      <c r="A19" s="5" t="s">
        <v>18</v>
      </c>
      <c r="B19" s="8" t="n">
        <f aca="false">INDEX(Warehouses!$I$5:$I$9,MATCH($B$5,Warehouses!$B$5:$B$9,0))</f>
        <v>28</v>
      </c>
    </row>
    <row r="20" customFormat="false" ht="15" hidden="false" customHeight="false" outlineLevel="0" collapsed="false">
      <c r="A20" s="5" t="s">
        <v>19</v>
      </c>
      <c r="B20" s="8" t="n">
        <f aca="false">INDEX(Warehouses!$J$5:$J$9,MATCH($B$5,Warehouses!$B$5:$B$9,0))</f>
        <v>22</v>
      </c>
    </row>
    <row r="21" customFormat="false" ht="15" hidden="false" customHeight="false" outlineLevel="0" collapsed="false">
      <c r="A21" s="5" t="s">
        <v>20</v>
      </c>
      <c r="B21" s="9" t="n">
        <f aca="false">INDEX(Warehouses!$K$5:$K$9,MATCH($B$5,Warehouses!$B$5:$B$9,0))</f>
        <v>0.85</v>
      </c>
    </row>
    <row r="22" customFormat="false" ht="15" hidden="false" customHeight="false" outlineLevel="0" collapsed="false">
      <c r="A22" s="5" t="s">
        <v>21</v>
      </c>
      <c r="B22" s="5" t="n">
        <f aca="false">B7+B8</f>
        <v>26</v>
      </c>
      <c r="C22" s="2" t="s">
        <v>22</v>
      </c>
    </row>
    <row r="23" customFormat="false" ht="15" hidden="false" customHeight="false" outlineLevel="0" collapsed="false">
      <c r="A23" s="5" t="s">
        <v>23</v>
      </c>
      <c r="B23" s="10" t="n">
        <f aca="false">IFERROR(B22/(B22+B13),0)</f>
        <v>0.962962962962963</v>
      </c>
    </row>
    <row r="24" customFormat="false" ht="15" hidden="false" customHeight="false" outlineLevel="0" collapsed="false">
      <c r="A24" s="7" t="s">
        <v>24</v>
      </c>
      <c r="B24" s="7" t="n">
        <f aca="false">(B6&gt;=B19)+(B22&gt;=B20)+AND(B22+B13&gt;=5,B23&gt;=B21)</f>
        <v>3</v>
      </c>
      <c r="C24" s="2" t="s">
        <v>25</v>
      </c>
    </row>
    <row r="25" customFormat="false" ht="15" hidden="false" customHeight="false" outlineLevel="0" collapsed="false">
      <c r="A25" s="7" t="s">
        <v>26</v>
      </c>
      <c r="B25" s="7" t="n">
        <f aca="false">MAX(0,ROUND(B18*Scoring!$B$14,0))+B24*Scoring!$B$15</f>
        <v>126</v>
      </c>
    </row>
  </sheetData>
  <dataValidations count="1">
    <dataValidation allowBlank="false" errorStyle="stop" operator="between" showDropDown="false" showErrorMessage="false" showInputMessage="false" sqref="B5" type="list">
      <formula1>Warehouses!$B$5:$B$9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8" min="6" style="0" width="10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26"/>
    <col collapsed="false" customWidth="true" hidden="false" outlineLevel="0" max="14" min="14" style="0" width="46"/>
    <col collapsed="false" customWidth="true" hidden="false" outlineLevel="0" max="15" min="15" style="0" width="26"/>
    <col collapsed="false" customWidth="true" hidden="false" outlineLevel="0" max="16" min="16" style="0" width="14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39.55" hidden="false" customHeight="false" outlineLevel="0" collapsed="false">
      <c r="A4" s="11" t="s">
        <v>29</v>
      </c>
      <c r="B4" s="11" t="s">
        <v>3</v>
      </c>
      <c r="C4" s="11" t="s">
        <v>30</v>
      </c>
      <c r="D4" s="11" t="s">
        <v>31</v>
      </c>
      <c r="E4" s="11" t="s">
        <v>32</v>
      </c>
      <c r="F4" s="11" t="s">
        <v>33</v>
      </c>
      <c r="G4" s="11" t="s">
        <v>34</v>
      </c>
      <c r="H4" s="11" t="s">
        <v>35</v>
      </c>
      <c r="I4" s="11" t="s">
        <v>18</v>
      </c>
      <c r="J4" s="11" t="s">
        <v>19</v>
      </c>
      <c r="K4" s="11" t="s">
        <v>20</v>
      </c>
      <c r="L4" s="11" t="s">
        <v>36</v>
      </c>
      <c r="M4" s="11" t="s">
        <v>37</v>
      </c>
      <c r="N4" s="11" t="s">
        <v>38</v>
      </c>
      <c r="O4" s="11" t="s">
        <v>39</v>
      </c>
      <c r="P4" s="11" t="s">
        <v>40</v>
      </c>
    </row>
    <row r="5" customFormat="false" ht="26.85" hidden="false" customHeight="false" outlineLevel="0" collapsed="false">
      <c r="A5" s="12" t="s">
        <v>41</v>
      </c>
      <c r="B5" s="12" t="s">
        <v>4</v>
      </c>
      <c r="C5" s="12" t="s">
        <v>42</v>
      </c>
      <c r="D5" s="13" t="n">
        <v>1</v>
      </c>
      <c r="E5" s="13" t="n">
        <v>4</v>
      </c>
      <c r="F5" s="13" t="n">
        <v>4</v>
      </c>
      <c r="G5" s="12" t="n">
        <f aca="false">F5*16</f>
        <v>64</v>
      </c>
      <c r="H5" s="13" t="n">
        <v>3</v>
      </c>
      <c r="I5" s="13" t="n">
        <v>28</v>
      </c>
      <c r="J5" s="13" t="n">
        <v>22</v>
      </c>
      <c r="K5" s="14" t="n">
        <v>0.85</v>
      </c>
      <c r="L5" s="13" t="n">
        <v>55</v>
      </c>
      <c r="M5" s="12" t="s">
        <v>43</v>
      </c>
      <c r="N5" s="12" t="s">
        <v>44</v>
      </c>
      <c r="O5" s="12" t="s">
        <v>45</v>
      </c>
      <c r="P5" s="12" t="s">
        <v>46</v>
      </c>
    </row>
    <row r="6" customFormat="false" ht="26.85" hidden="false" customHeight="false" outlineLevel="0" collapsed="false">
      <c r="A6" s="12" t="s">
        <v>47</v>
      </c>
      <c r="B6" s="12" t="s">
        <v>48</v>
      </c>
      <c r="C6" s="12" t="s">
        <v>49</v>
      </c>
      <c r="D6" s="13" t="n">
        <v>1</v>
      </c>
      <c r="E6" s="13" t="n">
        <v>2</v>
      </c>
      <c r="F6" s="13" t="n">
        <v>3</v>
      </c>
      <c r="G6" s="12" t="n">
        <f aca="false">F6*16</f>
        <v>48</v>
      </c>
      <c r="H6" s="13" t="n">
        <v>3</v>
      </c>
      <c r="I6" s="13" t="n">
        <v>18</v>
      </c>
      <c r="J6" s="13" t="n">
        <v>18</v>
      </c>
      <c r="K6" s="14" t="n">
        <v>0.85</v>
      </c>
      <c r="L6" s="13" t="n">
        <v>60</v>
      </c>
      <c r="M6" s="12" t="s">
        <v>50</v>
      </c>
      <c r="N6" s="12" t="s">
        <v>51</v>
      </c>
      <c r="O6" s="12" t="s">
        <v>52</v>
      </c>
      <c r="P6" s="12" t="s">
        <v>53</v>
      </c>
    </row>
    <row r="7" customFormat="false" ht="26.85" hidden="false" customHeight="false" outlineLevel="0" collapsed="false">
      <c r="A7" s="12" t="s">
        <v>54</v>
      </c>
      <c r="B7" s="12" t="s">
        <v>55</v>
      </c>
      <c r="C7" s="12" t="s">
        <v>56</v>
      </c>
      <c r="D7" s="13" t="n">
        <v>2</v>
      </c>
      <c r="E7" s="13" t="n">
        <v>5</v>
      </c>
      <c r="F7" s="13" t="n">
        <v>3</v>
      </c>
      <c r="G7" s="12" t="n">
        <f aca="false">F7*16</f>
        <v>48</v>
      </c>
      <c r="H7" s="13" t="n">
        <v>3</v>
      </c>
      <c r="I7" s="13" t="n">
        <v>36</v>
      </c>
      <c r="J7" s="13" t="n">
        <v>22</v>
      </c>
      <c r="K7" s="14" t="n">
        <v>0.85</v>
      </c>
      <c r="L7" s="13" t="n">
        <v>50</v>
      </c>
      <c r="M7" s="12" t="s">
        <v>57</v>
      </c>
      <c r="N7" s="12" t="s">
        <v>58</v>
      </c>
      <c r="O7" s="12" t="s">
        <v>59</v>
      </c>
      <c r="P7" s="12" t="s">
        <v>60</v>
      </c>
    </row>
    <row r="8" customFormat="false" ht="26.85" hidden="false" customHeight="false" outlineLevel="0" collapsed="false">
      <c r="A8" s="12" t="s">
        <v>61</v>
      </c>
      <c r="B8" s="12" t="s">
        <v>62</v>
      </c>
      <c r="C8" s="12" t="s">
        <v>63</v>
      </c>
      <c r="D8" s="13" t="n">
        <v>3</v>
      </c>
      <c r="E8" s="13" t="n">
        <v>5</v>
      </c>
      <c r="F8" s="13" t="n">
        <v>3</v>
      </c>
      <c r="G8" s="12" t="n">
        <f aca="false">F8*16</f>
        <v>48</v>
      </c>
      <c r="H8" s="13" t="n">
        <v>4</v>
      </c>
      <c r="I8" s="13" t="n">
        <v>40</v>
      </c>
      <c r="J8" s="13" t="n">
        <v>26</v>
      </c>
      <c r="K8" s="14" t="n">
        <v>0.85</v>
      </c>
      <c r="L8" s="13" t="n">
        <v>45</v>
      </c>
      <c r="M8" s="12" t="s">
        <v>64</v>
      </c>
      <c r="N8" s="12" t="s">
        <v>65</v>
      </c>
      <c r="O8" s="12" t="s">
        <v>66</v>
      </c>
      <c r="P8" s="12" t="s">
        <v>67</v>
      </c>
    </row>
    <row r="9" customFormat="false" ht="26.85" hidden="false" customHeight="false" outlineLevel="0" collapsed="false">
      <c r="A9" s="12" t="s">
        <v>68</v>
      </c>
      <c r="B9" s="12" t="s">
        <v>69</v>
      </c>
      <c r="C9" s="12" t="s">
        <v>70</v>
      </c>
      <c r="D9" s="13" t="n">
        <v>3</v>
      </c>
      <c r="E9" s="13" t="n">
        <v>3</v>
      </c>
      <c r="F9" s="13" t="n">
        <v>4</v>
      </c>
      <c r="G9" s="12" t="n">
        <f aca="false">F9*16</f>
        <v>64</v>
      </c>
      <c r="H9" s="13" t="n">
        <v>3</v>
      </c>
      <c r="I9" s="13" t="n">
        <v>20</v>
      </c>
      <c r="J9" s="13" t="n">
        <v>32</v>
      </c>
      <c r="K9" s="14" t="n">
        <v>0.85</v>
      </c>
      <c r="L9" s="13" t="n">
        <v>45</v>
      </c>
      <c r="M9" s="12" t="s">
        <v>71</v>
      </c>
      <c r="N9" s="12" t="s">
        <v>72</v>
      </c>
      <c r="O9" s="12" t="s">
        <v>73</v>
      </c>
      <c r="P9" s="12" t="s">
        <v>74</v>
      </c>
    </row>
    <row r="11" customFormat="false" ht="15" hidden="false" customHeight="false" outlineLevel="0" collapsed="false">
      <c r="A11" s="2" t="s">
        <v>75</v>
      </c>
    </row>
    <row r="12" customFormat="false" ht="15" hidden="false" customHeight="false" outlineLevel="0" collapsed="false">
      <c r="A12" s="2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11" t="s">
        <v>79</v>
      </c>
      <c r="B4" s="11" t="s">
        <v>80</v>
      </c>
      <c r="C4" s="11" t="s">
        <v>81</v>
      </c>
    </row>
    <row r="5" customFormat="false" ht="15" hidden="false" customHeight="false" outlineLevel="0" collapsed="false">
      <c r="A5" s="12" t="s">
        <v>82</v>
      </c>
      <c r="B5" s="13" t="n">
        <v>5</v>
      </c>
      <c r="C5" s="12" t="s">
        <v>83</v>
      </c>
    </row>
    <row r="6" customFormat="false" ht="15" hidden="false" customHeight="false" outlineLevel="0" collapsed="false">
      <c r="A6" s="12" t="s">
        <v>84</v>
      </c>
      <c r="B6" s="13" t="n">
        <v>15</v>
      </c>
      <c r="C6" s="12" t="s">
        <v>85</v>
      </c>
    </row>
    <row r="7" customFormat="false" ht="15" hidden="false" customHeight="false" outlineLevel="0" collapsed="false">
      <c r="A7" s="12" t="s">
        <v>86</v>
      </c>
      <c r="B7" s="13" t="n">
        <v>40</v>
      </c>
      <c r="C7" s="12" t="s">
        <v>87</v>
      </c>
    </row>
    <row r="8" customFormat="false" ht="15" hidden="false" customHeight="false" outlineLevel="0" collapsed="false">
      <c r="A8" s="12" t="s">
        <v>88</v>
      </c>
      <c r="B8" s="13" t="n">
        <v>2</v>
      </c>
      <c r="C8" s="12" t="s">
        <v>89</v>
      </c>
    </row>
    <row r="9" customFormat="false" ht="15" hidden="false" customHeight="false" outlineLevel="0" collapsed="false">
      <c r="A9" s="12" t="s">
        <v>90</v>
      </c>
      <c r="B9" s="13" t="n">
        <v>25</v>
      </c>
      <c r="C9" s="12" t="s">
        <v>91</v>
      </c>
    </row>
    <row r="10" customFormat="false" ht="15" hidden="false" customHeight="false" outlineLevel="0" collapsed="false">
      <c r="A10" s="12" t="s">
        <v>92</v>
      </c>
      <c r="B10" s="13" t="n">
        <v>10</v>
      </c>
      <c r="C10" s="12" t="s">
        <v>93</v>
      </c>
    </row>
    <row r="11" customFormat="false" ht="15" hidden="false" customHeight="false" outlineLevel="0" collapsed="false">
      <c r="A11" s="12" t="s">
        <v>94</v>
      </c>
      <c r="B11" s="13" t="n">
        <v>-10</v>
      </c>
      <c r="C11" s="12" t="s">
        <v>95</v>
      </c>
    </row>
    <row r="12" customFormat="false" ht="15" hidden="false" customHeight="false" outlineLevel="0" collapsed="false">
      <c r="A12" s="12" t="s">
        <v>96</v>
      </c>
      <c r="B12" s="13" t="n">
        <v>-15</v>
      </c>
      <c r="C12" s="12" t="s">
        <v>97</v>
      </c>
    </row>
    <row r="13" customFormat="false" ht="15" hidden="false" customHeight="false" outlineLevel="0" collapsed="false">
      <c r="A13" s="12" t="s">
        <v>98</v>
      </c>
      <c r="B13" s="13" t="n">
        <v>-2</v>
      </c>
      <c r="C13" s="12" t="s">
        <v>99</v>
      </c>
    </row>
    <row r="14" customFormat="false" ht="15" hidden="false" customHeight="false" outlineLevel="0" collapsed="false">
      <c r="A14" s="12" t="s">
        <v>100</v>
      </c>
      <c r="B14" s="15" t="n">
        <v>0.166666666666667</v>
      </c>
      <c r="C14" s="12" t="s">
        <v>101</v>
      </c>
    </row>
    <row r="15" customFormat="false" ht="15" hidden="false" customHeight="false" outlineLevel="0" collapsed="false">
      <c r="A15" s="12" t="s">
        <v>102</v>
      </c>
      <c r="B15" s="13" t="n">
        <v>10</v>
      </c>
      <c r="C15" s="1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40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26.85" hidden="false" customHeight="false" outlineLevel="0" collapsed="false">
      <c r="A4" s="11" t="s">
        <v>106</v>
      </c>
      <c r="B4" s="11" t="s">
        <v>107</v>
      </c>
      <c r="C4" s="11" t="s">
        <v>108</v>
      </c>
      <c r="D4" s="11" t="s">
        <v>109</v>
      </c>
      <c r="E4" s="11" t="s">
        <v>110</v>
      </c>
      <c r="F4" s="11" t="s">
        <v>111</v>
      </c>
      <c r="G4" s="11" t="s">
        <v>112</v>
      </c>
    </row>
    <row r="5" customFormat="false" ht="15" hidden="false" customHeight="false" outlineLevel="0" collapsed="false">
      <c r="A5" s="12" t="s">
        <v>113</v>
      </c>
      <c r="B5" s="12" t="s">
        <v>114</v>
      </c>
      <c r="C5" s="13" t="n">
        <v>40</v>
      </c>
      <c r="D5" s="12" t="s">
        <v>115</v>
      </c>
      <c r="E5" s="12" t="s">
        <v>116</v>
      </c>
      <c r="F5" s="12" t="s">
        <v>117</v>
      </c>
      <c r="G5" s="12" t="s">
        <v>118</v>
      </c>
    </row>
    <row r="6" customFormat="false" ht="26.85" hidden="false" customHeight="false" outlineLevel="0" collapsed="false">
      <c r="A6" s="12" t="s">
        <v>119</v>
      </c>
      <c r="B6" s="12" t="s">
        <v>120</v>
      </c>
      <c r="C6" s="13" t="n">
        <v>20</v>
      </c>
      <c r="D6" s="12" t="s">
        <v>121</v>
      </c>
      <c r="E6" s="12" t="s">
        <v>122</v>
      </c>
      <c r="F6" s="12" t="s">
        <v>123</v>
      </c>
      <c r="G6" s="12" t="s">
        <v>118</v>
      </c>
    </row>
    <row r="7" customFormat="false" ht="15" hidden="false" customHeight="false" outlineLevel="0" collapsed="false">
      <c r="A7" s="12" t="s">
        <v>124</v>
      </c>
      <c r="B7" s="12" t="s">
        <v>125</v>
      </c>
      <c r="C7" s="13" t="n">
        <v>0</v>
      </c>
      <c r="D7" s="12" t="s">
        <v>126</v>
      </c>
      <c r="E7" s="12" t="s">
        <v>127</v>
      </c>
      <c r="F7" s="12" t="s">
        <v>128</v>
      </c>
      <c r="G7" s="12" t="s">
        <v>129</v>
      </c>
    </row>
    <row r="8" customFormat="false" ht="15" hidden="false" customHeight="false" outlineLevel="0" collapsed="false">
      <c r="A8" s="12" t="s">
        <v>130</v>
      </c>
      <c r="B8" s="12" t="s">
        <v>131</v>
      </c>
      <c r="C8" s="13" t="n">
        <v>30</v>
      </c>
      <c r="D8" s="12" t="s">
        <v>132</v>
      </c>
      <c r="E8" s="12" t="s">
        <v>133</v>
      </c>
      <c r="F8" s="12" t="s">
        <v>134</v>
      </c>
      <c r="G8" s="12" t="s">
        <v>118</v>
      </c>
    </row>
    <row r="9" customFormat="false" ht="15" hidden="false" customHeight="false" outlineLevel="0" collapsed="false">
      <c r="A9" s="12" t="s">
        <v>135</v>
      </c>
      <c r="B9" s="12" t="s">
        <v>136</v>
      </c>
      <c r="C9" s="13" t="n">
        <v>60</v>
      </c>
      <c r="D9" s="12" t="s">
        <v>137</v>
      </c>
      <c r="E9" s="12" t="s">
        <v>138</v>
      </c>
      <c r="F9" s="12" t="s">
        <v>139</v>
      </c>
      <c r="G9" s="12" t="s">
        <v>118</v>
      </c>
    </row>
    <row r="10" customFormat="false" ht="26.85" hidden="false" customHeight="false" outlineLevel="0" collapsed="false">
      <c r="A10" s="12" t="s">
        <v>140</v>
      </c>
      <c r="B10" s="12" t="s">
        <v>141</v>
      </c>
      <c r="C10" s="13" t="n">
        <v>35</v>
      </c>
      <c r="D10" s="12" t="s">
        <v>142</v>
      </c>
      <c r="E10" s="12" t="s">
        <v>143</v>
      </c>
      <c r="F10" s="12" t="s">
        <v>144</v>
      </c>
      <c r="G10" s="12" t="s">
        <v>118</v>
      </c>
    </row>
    <row r="12" customFormat="false" ht="15" hidden="false" customHeight="false" outlineLevel="0" collapsed="false">
      <c r="A12" s="7" t="s">
        <v>145</v>
      </c>
      <c r="C12" s="7" t="n">
        <f aca="false">SUM(C5:C10)</f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 t="s">
        <v>147</v>
      </c>
    </row>
    <row r="4" customFormat="false" ht="26.85" hidden="false" customHeight="false" outlineLevel="0" collapsed="false">
      <c r="A4" s="11" t="s">
        <v>148</v>
      </c>
      <c r="B4" s="11" t="s">
        <v>149</v>
      </c>
      <c r="C4" s="11" t="s">
        <v>108</v>
      </c>
      <c r="D4" s="11" t="s">
        <v>150</v>
      </c>
    </row>
    <row r="5" customFormat="false" ht="15" hidden="false" customHeight="false" outlineLevel="0" collapsed="false">
      <c r="A5" s="12" t="s">
        <v>151</v>
      </c>
      <c r="B5" s="12" t="s">
        <v>152</v>
      </c>
      <c r="C5" s="13" t="n">
        <v>0</v>
      </c>
      <c r="D5" s="12" t="s">
        <v>153</v>
      </c>
    </row>
    <row r="6" customFormat="false" ht="26.85" hidden="false" customHeight="false" outlineLevel="0" collapsed="false">
      <c r="A6" s="12" t="s">
        <v>154</v>
      </c>
      <c r="B6" s="12" t="s">
        <v>155</v>
      </c>
      <c r="C6" s="13" t="n">
        <v>35</v>
      </c>
      <c r="D6" s="12" t="s">
        <v>156</v>
      </c>
    </row>
    <row r="7" customFormat="false" ht="15" hidden="false" customHeight="false" outlineLevel="0" collapsed="false">
      <c r="A7" s="12" t="s">
        <v>157</v>
      </c>
      <c r="B7" s="12" t="s">
        <v>158</v>
      </c>
      <c r="C7" s="13" t="n">
        <v>60</v>
      </c>
      <c r="D7" s="12" t="s">
        <v>159</v>
      </c>
    </row>
    <row r="8" customFormat="false" ht="15" hidden="false" customHeight="false" outlineLevel="0" collapsed="false">
      <c r="A8" s="12" t="s">
        <v>160</v>
      </c>
      <c r="B8" s="12" t="s">
        <v>161</v>
      </c>
      <c r="C8" s="13" t="n">
        <v>0</v>
      </c>
      <c r="D8" s="12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4"/>
    <col collapsed="false" customWidth="true" hidden="false" outlineLevel="0" max="4" min="3" style="0" width="15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163</v>
      </c>
    </row>
    <row r="2" customFormat="false" ht="15" hidden="false" customHeight="false" outlineLevel="0" collapsed="false">
      <c r="A2" s="2" t="s">
        <v>164</v>
      </c>
    </row>
    <row r="4" customFormat="false" ht="26.85" hidden="false" customHeight="false" outlineLevel="0" collapsed="false">
      <c r="A4" s="11" t="s">
        <v>165</v>
      </c>
      <c r="B4" s="11" t="s">
        <v>150</v>
      </c>
      <c r="C4" s="11" t="s">
        <v>166</v>
      </c>
      <c r="D4" s="11" t="s">
        <v>167</v>
      </c>
      <c r="E4" s="11" t="s">
        <v>168</v>
      </c>
      <c r="F4" s="11" t="s">
        <v>169</v>
      </c>
    </row>
    <row r="5" customFormat="false" ht="15" hidden="false" customHeight="false" outlineLevel="0" collapsed="false">
      <c r="A5" s="12" t="s">
        <v>170</v>
      </c>
      <c r="B5" s="12" t="s">
        <v>171</v>
      </c>
      <c r="C5" s="13" t="n">
        <v>120</v>
      </c>
      <c r="D5" s="13" t="n">
        <v>240</v>
      </c>
      <c r="E5" s="13" t="n">
        <v>2</v>
      </c>
      <c r="F5" s="12" t="n">
        <f aca="false">SUM(C5:D5)</f>
        <v>360</v>
      </c>
    </row>
    <row r="6" customFormat="false" ht="15" hidden="false" customHeight="false" outlineLevel="0" collapsed="false">
      <c r="A6" s="12" t="s">
        <v>172</v>
      </c>
      <c r="B6" s="12" t="s">
        <v>173</v>
      </c>
      <c r="C6" s="13" t="n">
        <v>90</v>
      </c>
      <c r="D6" s="13" t="n">
        <v>180</v>
      </c>
      <c r="E6" s="13" t="n">
        <v>2</v>
      </c>
      <c r="F6" s="12" t="n">
        <f aca="false">SUM(C6:D6)</f>
        <v>270</v>
      </c>
    </row>
    <row r="7" customFormat="false" ht="15" hidden="false" customHeight="false" outlineLevel="0" collapsed="false">
      <c r="A7" s="12" t="s">
        <v>174</v>
      </c>
      <c r="B7" s="12" t="s">
        <v>175</v>
      </c>
      <c r="C7" s="13" t="n">
        <v>80</v>
      </c>
      <c r="D7" s="13"/>
      <c r="E7" s="13" t="n">
        <v>1</v>
      </c>
      <c r="F7" s="12" t="n">
        <f aca="false">SUM(C7:D7)</f>
        <v>80</v>
      </c>
    </row>
    <row r="9" customFormat="false" ht="15" hidden="false" customHeight="false" outlineLevel="0" collapsed="false">
      <c r="A9" s="7" t="s">
        <v>176</v>
      </c>
      <c r="F9" s="7" t="n">
        <f aca="false">SUM(F5:F7)</f>
        <v>710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2" t="s">
        <v>178</v>
      </c>
    </row>
    <row r="4" customFormat="false" ht="15" hidden="false" customHeight="false" outlineLevel="0" collapsed="false">
      <c r="A4" s="11" t="s">
        <v>179</v>
      </c>
      <c r="B4" s="11" t="s">
        <v>180</v>
      </c>
      <c r="C4" s="11" t="s">
        <v>181</v>
      </c>
    </row>
    <row r="5" customFormat="false" ht="15" hidden="false" customHeight="false" outlineLevel="0" collapsed="false">
      <c r="A5" s="12" t="s">
        <v>182</v>
      </c>
      <c r="B5" s="12" t="s">
        <v>183</v>
      </c>
      <c r="C5" s="12" t="s">
        <v>184</v>
      </c>
    </row>
    <row r="6" customFormat="false" ht="15" hidden="false" customHeight="false" outlineLevel="0" collapsed="false">
      <c r="A6" s="12" t="s">
        <v>185</v>
      </c>
      <c r="B6" s="12" t="s">
        <v>186</v>
      </c>
      <c r="C6" s="12" t="s">
        <v>187</v>
      </c>
    </row>
    <row r="7" customFormat="false" ht="15" hidden="false" customHeight="false" outlineLevel="0" collapsed="false">
      <c r="A7" s="12" t="s">
        <v>188</v>
      </c>
      <c r="B7" s="12" t="s">
        <v>189</v>
      </c>
      <c r="C7" s="12" t="s">
        <v>190</v>
      </c>
    </row>
    <row r="8" customFormat="false" ht="15" hidden="false" customHeight="false" outlineLevel="0" collapsed="false">
      <c r="A8" s="12" t="s">
        <v>191</v>
      </c>
      <c r="B8" s="12" t="str">
        <f aca="false">"Green + amber + all red, both directions"</f>
        <v>Green + amber + all red, both directions</v>
      </c>
      <c r="C8" s="12" t="n">
        <f aca="false">2*(6+1.5+0.8)</f>
        <v>16.6</v>
      </c>
    </row>
    <row r="9" customFormat="false" ht="15" hidden="false" customHeight="false" outlineLevel="0" collapsed="false">
      <c r="A9" s="12" t="s">
        <v>192</v>
      </c>
      <c r="B9" s="12" t="s">
        <v>193</v>
      </c>
      <c r="C9" s="12" t="s">
        <v>194</v>
      </c>
    </row>
    <row r="10" customFormat="false" ht="15" hidden="false" customHeight="false" outlineLevel="0" collapsed="false">
      <c r="A10" s="12" t="s">
        <v>195</v>
      </c>
      <c r="B10" s="12" t="s">
        <v>196</v>
      </c>
      <c r="C10" s="12" t="s">
        <v>197</v>
      </c>
    </row>
    <row r="11" customFormat="false" ht="15" hidden="false" customHeight="false" outlineLevel="0" collapsed="false">
      <c r="A11" s="12" t="s">
        <v>198</v>
      </c>
      <c r="B11" s="12" t="s">
        <v>199</v>
      </c>
      <c r="C11" s="12" t="s">
        <v>200</v>
      </c>
    </row>
    <row r="12" customFormat="false" ht="26.85" hidden="false" customHeight="false" outlineLevel="0" collapsed="false">
      <c r="A12" s="12" t="s">
        <v>201</v>
      </c>
      <c r="B12" s="12" t="s">
        <v>202</v>
      </c>
      <c r="C12" s="12" t="s">
        <v>203</v>
      </c>
    </row>
    <row r="13" customFormat="false" ht="15" hidden="false" customHeight="false" outlineLevel="0" collapsed="false">
      <c r="A13" s="12" t="s">
        <v>204</v>
      </c>
      <c r="B13" s="12" t="s">
        <v>205</v>
      </c>
      <c r="C13" s="12" t="s">
        <v>206</v>
      </c>
    </row>
    <row r="14" customFormat="false" ht="15" hidden="false" customHeight="false" outlineLevel="0" collapsed="false">
      <c r="A14" s="12" t="s">
        <v>207</v>
      </c>
      <c r="B14" s="12" t="s">
        <v>208</v>
      </c>
      <c r="C14" s="12" t="s">
        <v>209</v>
      </c>
    </row>
    <row r="15" customFormat="false" ht="26.85" hidden="false" customHeight="false" outlineLevel="0" collapsed="false">
      <c r="A15" s="12" t="s">
        <v>210</v>
      </c>
      <c r="B15" s="12" t="s">
        <v>211</v>
      </c>
      <c r="C15" s="12" t="s">
        <v>212</v>
      </c>
    </row>
    <row r="16" customFormat="false" ht="15" hidden="false" customHeight="false" outlineLevel="0" collapsed="false">
      <c r="A16" s="12" t="s">
        <v>213</v>
      </c>
      <c r="B16" s="12" t="s">
        <v>214</v>
      </c>
      <c r="C16" s="12" t="s">
        <v>212</v>
      </c>
    </row>
    <row r="17" customFormat="false" ht="26.85" hidden="false" customHeight="false" outlineLevel="0" collapsed="false">
      <c r="A17" s="12" t="s">
        <v>215</v>
      </c>
      <c r="B17" s="12" t="s">
        <v>216</v>
      </c>
      <c r="C17" s="12" t="s">
        <v>217</v>
      </c>
    </row>
    <row r="18" customFormat="false" ht="26.85" hidden="false" customHeight="false" outlineLevel="0" collapsed="false">
      <c r="A18" s="12" t="s">
        <v>218</v>
      </c>
      <c r="B18" s="12" t="s">
        <v>219</v>
      </c>
      <c r="C18" s="12" t="s">
        <v>220</v>
      </c>
    </row>
    <row r="19" customFormat="false" ht="26.85" hidden="false" customHeight="false" outlineLevel="0" collapsed="false">
      <c r="A19" s="12" t="s">
        <v>221</v>
      </c>
      <c r="B19" s="12" t="s">
        <v>222</v>
      </c>
      <c r="C19" s="12" t="s">
        <v>212</v>
      </c>
    </row>
    <row r="20" customFormat="false" ht="26.85" hidden="false" customHeight="false" outlineLevel="0" collapsed="false">
      <c r="A20" s="12" t="s">
        <v>223</v>
      </c>
      <c r="B20" s="12" t="s">
        <v>224</v>
      </c>
      <c r="C20" s="12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4" customFormat="false" ht="15" hidden="false" customHeight="false" outlineLevel="0" collapsed="false">
      <c r="A4" s="11" t="s">
        <v>180</v>
      </c>
      <c r="B4" s="11" t="s">
        <v>227</v>
      </c>
      <c r="C4" s="11" t="s">
        <v>181</v>
      </c>
    </row>
    <row r="5" customFormat="false" ht="26.85" hidden="false" customHeight="false" outlineLevel="0" collapsed="false">
      <c r="A5" s="12" t="s">
        <v>228</v>
      </c>
      <c r="B5" s="12" t="s">
        <v>229</v>
      </c>
      <c r="C5" s="12" t="n">
        <f aca="false">30+3*8</f>
        <v>54</v>
      </c>
    </row>
    <row r="6" customFormat="false" ht="15" hidden="false" customHeight="false" outlineLevel="0" collapsed="false">
      <c r="A6" s="12" t="s">
        <v>230</v>
      </c>
      <c r="B6" s="12" t="s">
        <v>231</v>
      </c>
      <c r="C6" s="12" t="n">
        <f aca="false">2+0.25*8</f>
        <v>4</v>
      </c>
    </row>
    <row r="7" customFormat="false" ht="15" hidden="false" customHeight="false" outlineLevel="0" collapsed="false">
      <c r="A7" s="12" t="s">
        <v>232</v>
      </c>
      <c r="B7" s="12" t="s">
        <v>233</v>
      </c>
      <c r="C7" s="12" t="n">
        <v>1.25</v>
      </c>
    </row>
    <row r="8" customFormat="false" ht="15" hidden="false" customHeight="false" outlineLevel="0" collapsed="false">
      <c r="A8" s="12" t="s">
        <v>234</v>
      </c>
      <c r="B8" s="12" t="s">
        <v>235</v>
      </c>
      <c r="C8" s="12" t="n">
        <v>0.5</v>
      </c>
    </row>
    <row r="9" customFormat="false" ht="15" hidden="false" customHeight="false" outlineLevel="0" collapsed="false">
      <c r="A9" s="12" t="s">
        <v>236</v>
      </c>
      <c r="B9" s="12" t="s">
        <v>237</v>
      </c>
      <c r="C9" s="12" t="n">
        <f aca="false">0.8+0.1*4</f>
        <v>1.2</v>
      </c>
    </row>
    <row r="10" customFormat="false" ht="15" hidden="false" customHeight="false" outlineLevel="0" collapsed="false">
      <c r="A10" s="12" t="s">
        <v>238</v>
      </c>
      <c r="B10" s="12" t="s">
        <v>239</v>
      </c>
      <c r="C10" s="12" t="n">
        <v>2</v>
      </c>
    </row>
    <row r="11" customFormat="false" ht="26.85" hidden="false" customHeight="false" outlineLevel="0" collapsed="false">
      <c r="A11" s="12" t="s">
        <v>240</v>
      </c>
      <c r="B11" s="12" t="s">
        <v>241</v>
      </c>
      <c r="C11" s="12" t="n">
        <f aca="false">ROUND(C6*C9*C7,0)</f>
        <v>6</v>
      </c>
    </row>
    <row r="12" customFormat="false" ht="26.85" hidden="false" customHeight="false" outlineLevel="0" collapsed="false">
      <c r="A12" s="12" t="s">
        <v>242</v>
      </c>
      <c r="B12" s="12" t="s">
        <v>243</v>
      </c>
      <c r="C12" s="12" t="s">
        <v>244</v>
      </c>
    </row>
    <row r="13" customFormat="false" ht="39.55" hidden="false" customHeight="false" outlineLevel="0" collapsed="false">
      <c r="A13" s="12" t="s">
        <v>245</v>
      </c>
      <c r="B13" s="12" t="s">
        <v>246</v>
      </c>
      <c r="C13" s="12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9"/>
    <col collapsed="false" customWidth="true" hidden="false" outlineLevel="0" max="3" min="3" style="0" width="48"/>
    <col collapsed="false" customWidth="true" hidden="false" outlineLevel="0" max="7" min="4" style="0" width="12"/>
  </cols>
  <sheetData>
    <row r="1" customFormat="false" ht="17.35" hidden="false" customHeight="false" outlineLevel="0" collapsed="false">
      <c r="A1" s="1" t="s">
        <v>247</v>
      </c>
    </row>
    <row r="2" customFormat="false" ht="15" hidden="false" customHeight="false" outlineLevel="0" collapsed="false">
      <c r="A2" s="2" t="s">
        <v>248</v>
      </c>
    </row>
    <row r="4" customFormat="false" ht="15" hidden="false" customHeight="false" outlineLevel="0" collapsed="false">
      <c r="A4" s="11" t="s">
        <v>165</v>
      </c>
      <c r="B4" s="11" t="s">
        <v>249</v>
      </c>
      <c r="C4" s="11" t="s">
        <v>150</v>
      </c>
      <c r="D4" s="11" t="s">
        <v>250</v>
      </c>
      <c r="E4" s="11" t="s">
        <v>251</v>
      </c>
      <c r="F4" s="11" t="s">
        <v>252</v>
      </c>
      <c r="G4" s="11" t="s">
        <v>253</v>
      </c>
    </row>
    <row r="5" customFormat="false" ht="15" hidden="false" customHeight="false" outlineLevel="0" collapsed="false">
      <c r="A5" s="12" t="s">
        <v>254</v>
      </c>
      <c r="B5" s="12" t="s">
        <v>255</v>
      </c>
      <c r="C5" s="12" t="s">
        <v>256</v>
      </c>
      <c r="D5" s="13" t="n">
        <v>90</v>
      </c>
      <c r="E5" s="13" t="n">
        <v>180</v>
      </c>
      <c r="F5" s="13" t="n">
        <v>320</v>
      </c>
      <c r="G5" s="12" t="n">
        <f aca="false">SUM(D5:F5)</f>
        <v>590</v>
      </c>
    </row>
    <row r="6" customFormat="false" ht="15" hidden="false" customHeight="false" outlineLevel="0" collapsed="false">
      <c r="A6" s="12" t="s">
        <v>257</v>
      </c>
      <c r="B6" s="12" t="s">
        <v>255</v>
      </c>
      <c r="C6" s="12" t="s">
        <v>258</v>
      </c>
      <c r="D6" s="13" t="n">
        <v>70</v>
      </c>
      <c r="E6" s="13" t="n">
        <v>150</v>
      </c>
      <c r="F6" s="13"/>
      <c r="G6" s="12" t="n">
        <f aca="false">SUM(D6:F6)</f>
        <v>220</v>
      </c>
    </row>
    <row r="7" customFormat="false" ht="15" hidden="false" customHeight="false" outlineLevel="0" collapsed="false">
      <c r="A7" s="12" t="s">
        <v>259</v>
      </c>
      <c r="B7" s="12" t="s">
        <v>255</v>
      </c>
      <c r="C7" s="12" t="s">
        <v>260</v>
      </c>
      <c r="D7" s="13" t="n">
        <v>110</v>
      </c>
      <c r="E7" s="13"/>
      <c r="F7" s="13"/>
      <c r="G7" s="12" t="n">
        <f aca="false">SUM(D7:F7)</f>
        <v>110</v>
      </c>
    </row>
    <row r="8" customFormat="false" ht="15" hidden="false" customHeight="false" outlineLevel="0" collapsed="false">
      <c r="A8" s="12" t="s">
        <v>261</v>
      </c>
      <c r="B8" s="12" t="s">
        <v>262</v>
      </c>
      <c r="C8" s="12" t="s">
        <v>263</v>
      </c>
      <c r="D8" s="13" t="n">
        <v>60</v>
      </c>
      <c r="E8" s="13"/>
      <c r="F8" s="13"/>
      <c r="G8" s="12" t="n">
        <f aca="false">SUM(D8:F8)</f>
        <v>60</v>
      </c>
    </row>
    <row r="9" customFormat="false" ht="15" hidden="false" customHeight="false" outlineLevel="0" collapsed="false">
      <c r="A9" s="12" t="s">
        <v>264</v>
      </c>
      <c r="B9" s="12" t="s">
        <v>262</v>
      </c>
      <c r="C9" s="12" t="s">
        <v>265</v>
      </c>
      <c r="D9" s="13" t="n">
        <v>100</v>
      </c>
      <c r="E9" s="13" t="n">
        <v>200</v>
      </c>
      <c r="F9" s="13"/>
      <c r="G9" s="12" t="n">
        <f aca="false">SUM(D9:F9)</f>
        <v>300</v>
      </c>
    </row>
    <row r="10" customFormat="false" ht="15" hidden="false" customHeight="false" outlineLevel="0" collapsed="false">
      <c r="A10" s="12" t="s">
        <v>266</v>
      </c>
      <c r="B10" s="12" t="s">
        <v>262</v>
      </c>
      <c r="C10" s="12" t="s">
        <v>267</v>
      </c>
      <c r="D10" s="13" t="n">
        <v>160</v>
      </c>
      <c r="E10" s="13"/>
      <c r="F10" s="13"/>
      <c r="G10" s="12" t="n">
        <f aca="false">SUM(D10:F10)</f>
        <v>160</v>
      </c>
    </row>
    <row r="11" customFormat="false" ht="15" hidden="false" customHeight="false" outlineLevel="0" collapsed="false">
      <c r="A11" s="12" t="s">
        <v>268</v>
      </c>
      <c r="B11" s="12" t="s">
        <v>262</v>
      </c>
      <c r="C11" s="12" t="s">
        <v>269</v>
      </c>
      <c r="D11" s="13" t="n">
        <v>120</v>
      </c>
      <c r="E11" s="13"/>
      <c r="F11" s="13"/>
      <c r="G11" s="12" t="n">
        <f aca="false">SUM(D11:F11)</f>
        <v>120</v>
      </c>
    </row>
    <row r="13" customFormat="false" ht="15" hidden="false" customHeight="false" outlineLevel="0" collapsed="false">
      <c r="A13" s="7" t="s">
        <v>270</v>
      </c>
      <c r="G13" s="7" t="n">
        <f aca="false">SUM(G5:G11)</f>
        <v>1560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2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271</v>
      </c>
    </row>
    <row r="2" customFormat="false" ht="15" hidden="false" customHeight="false" outlineLevel="0" collapsed="false">
      <c r="A2" s="2" t="s">
        <v>272</v>
      </c>
    </row>
    <row r="4" customFormat="false" ht="15" hidden="false" customHeight="false" outlineLevel="0" collapsed="false">
      <c r="A4" s="11" t="s">
        <v>273</v>
      </c>
      <c r="B4" s="11" t="s">
        <v>227</v>
      </c>
      <c r="C4" s="11" t="s">
        <v>181</v>
      </c>
    </row>
    <row r="5" customFormat="false" ht="26.85" hidden="false" customHeight="false" outlineLevel="0" collapsed="false">
      <c r="A5" s="12" t="s">
        <v>274</v>
      </c>
      <c r="B5" s="12" t="s">
        <v>275</v>
      </c>
      <c r="C5" s="13" t="n">
        <v>16</v>
      </c>
    </row>
    <row r="6" customFormat="false" ht="15" hidden="false" customHeight="false" outlineLevel="0" collapsed="false">
      <c r="A6" s="12" t="s">
        <v>276</v>
      </c>
      <c r="B6" s="12" t="s">
        <v>277</v>
      </c>
      <c r="C6" s="13" t="n">
        <v>-5</v>
      </c>
    </row>
    <row r="7" customFormat="false" ht="15" hidden="false" customHeight="false" outlineLevel="0" collapsed="false">
      <c r="A7" s="12" t="s">
        <v>278</v>
      </c>
      <c r="B7" s="12" t="s">
        <v>279</v>
      </c>
      <c r="C7" s="13" t="n">
        <v>-0.15</v>
      </c>
    </row>
    <row r="8" customFormat="false" ht="15" hidden="false" customHeight="false" outlineLevel="0" collapsed="false">
      <c r="A8" s="12" t="s">
        <v>280</v>
      </c>
      <c r="B8" s="12" t="s">
        <v>281</v>
      </c>
      <c r="C8" s="13" t="n">
        <v>-0.05</v>
      </c>
    </row>
    <row r="9" customFormat="false" ht="15" hidden="false" customHeight="false" outlineLevel="0" collapsed="false">
      <c r="A9" s="12" t="s">
        <v>282</v>
      </c>
      <c r="B9" s="12" t="s">
        <v>283</v>
      </c>
      <c r="C9" s="13" t="n">
        <v>25</v>
      </c>
    </row>
    <row r="10" customFormat="false" ht="15" hidden="false" customHeight="false" outlineLevel="0" collapsed="false">
      <c r="A10" s="12" t="s">
        <v>284</v>
      </c>
      <c r="B10" s="12" t="s">
        <v>285</v>
      </c>
      <c r="C10" s="13" t="n">
        <v>15</v>
      </c>
    </row>
    <row r="11" customFormat="false" ht="26.85" hidden="false" customHeight="false" outlineLevel="0" collapsed="false">
      <c r="A11" s="12" t="s">
        <v>286</v>
      </c>
      <c r="B11" s="12" t="s">
        <v>287</v>
      </c>
      <c r="C11" s="13" t="n">
        <v>1.25</v>
      </c>
    </row>
    <row r="12" customFormat="false" ht="39.55" hidden="false" customHeight="false" outlineLevel="0" collapsed="false">
      <c r="A12" s="12" t="s">
        <v>288</v>
      </c>
      <c r="B12" s="12" t="s">
        <v>289</v>
      </c>
      <c r="C12" s="13" t="s">
        <v>290</v>
      </c>
    </row>
    <row r="13" customFormat="false" ht="15" hidden="false" customHeight="false" outlineLevel="0" collapsed="false">
      <c r="A13" s="12" t="s">
        <v>291</v>
      </c>
      <c r="B13" s="12" t="s">
        <v>292</v>
      </c>
      <c r="C13" s="13" t="n">
        <v>75</v>
      </c>
    </row>
    <row r="14" customFormat="false" ht="15" hidden="false" customHeight="false" outlineLevel="0" collapsed="false">
      <c r="A14" s="12" t="s">
        <v>293</v>
      </c>
      <c r="B14" s="12" t="s">
        <v>294</v>
      </c>
      <c r="C14" s="13" t="s">
        <v>295</v>
      </c>
    </row>
    <row r="15" customFormat="false" ht="15" hidden="false" customHeight="false" outlineLevel="0" collapsed="false">
      <c r="A15" s="12" t="s">
        <v>296</v>
      </c>
      <c r="B15" s="12" t="s">
        <v>297</v>
      </c>
      <c r="C15" s="13" t="s">
        <v>298</v>
      </c>
    </row>
    <row r="16" customFormat="false" ht="15" hidden="false" customHeight="false" outlineLevel="0" collapsed="false">
      <c r="A16" s="12" t="s">
        <v>299</v>
      </c>
      <c r="B16" s="12" t="s">
        <v>300</v>
      </c>
      <c r="C16" s="13" t="s">
        <v>301</v>
      </c>
    </row>
    <row r="17" customFormat="false" ht="15" hidden="false" customHeight="false" outlineLevel="0" collapsed="false">
      <c r="A17" s="12" t="s">
        <v>302</v>
      </c>
      <c r="B17" s="12" t="s">
        <v>303</v>
      </c>
      <c r="C17" s="13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2026-10-04T13:19:37Z</dcterms:created>
  <dc:creator>openpyxl</dc:creator>
  <dc:description/>
  <dc:language>en-US</dc:language>
  <cp:lastModifiedBy/>
  <dcterms:modified xsi:type="dcterms:W3CDTF">2026-10-04T13:19:37Z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